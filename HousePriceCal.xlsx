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629"/>
  <workbookPr filterPrivacy="1"/>
  <xr:revisionPtr revIDLastSave="0" documentId="13_ncr:1_{318ADB50-C829-4E3E-94F5-AE3C72AEAD18}" xr6:coauthVersionLast="43" xr6:coauthVersionMax="43" xr10:uidLastSave="{00000000-0000-0000-0000-000000000000}"/>
  <bookViews>
    <workbookView xWindow="0" yWindow="0" windowWidth="28800" windowHeight="15600" xr2:uid="{00000000-000D-0000-FFFF-FFFF00000000}"/>
  </bookViews>
  <sheets>
    <sheet name="Sheet1" sheetId="1" r:id="rId1"/>
  </sheets>
  <calcPr calcId="18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N3" i="1" l="1"/>
  <c r="N6" i="1" l="1"/>
  <c r="N5" i="1"/>
  <c r="N7" i="1" s="1"/>
  <c r="K6" i="1"/>
  <c r="K5" i="1"/>
  <c r="K7" i="1" s="1"/>
  <c r="K9" i="1" s="1"/>
  <c r="H3" i="1"/>
  <c r="H1" i="1"/>
  <c r="E4" i="1"/>
  <c r="E3" i="1"/>
  <c r="E2" i="1"/>
  <c r="E1" i="1" s="1"/>
  <c r="B4" i="1"/>
  <c r="H5" i="1" s="1"/>
  <c r="N10" i="1" l="1"/>
  <c r="N11" i="1" s="1"/>
</calcChain>
</file>

<file path=xl/sharedStrings.xml><?xml version="1.0" encoding="utf-8"?>
<sst xmlns="http://schemas.openxmlformats.org/spreadsheetml/2006/main" count="28" uniqueCount="27">
  <si>
    <t>房东开价</t>
    <phoneticPr fontId="1" type="noConversion"/>
  </si>
  <si>
    <t>网签避税价</t>
    <phoneticPr fontId="1" type="noConversion"/>
  </si>
  <si>
    <t>私下给房东价</t>
    <phoneticPr fontId="1" type="noConversion"/>
  </si>
  <si>
    <t>房价</t>
    <phoneticPr fontId="1" type="noConversion"/>
  </si>
  <si>
    <t>交易费用</t>
    <phoneticPr fontId="1" type="noConversion"/>
  </si>
  <si>
    <t>个税1个点</t>
    <phoneticPr fontId="1" type="noConversion"/>
  </si>
  <si>
    <t>契税1个点</t>
    <phoneticPr fontId="1" type="noConversion"/>
  </si>
  <si>
    <t>中介费2个点</t>
    <phoneticPr fontId="1" type="noConversion"/>
  </si>
  <si>
    <t>首付35%</t>
    <phoneticPr fontId="1" type="noConversion"/>
  </si>
  <si>
    <t>公积金贷款50万</t>
    <phoneticPr fontId="1" type="noConversion"/>
  </si>
  <si>
    <t>商贷</t>
    <phoneticPr fontId="1" type="noConversion"/>
  </si>
  <si>
    <t>公积金利率</t>
    <phoneticPr fontId="1" type="noConversion"/>
  </si>
  <si>
    <t>贷款金额</t>
    <phoneticPr fontId="1" type="noConversion"/>
  </si>
  <si>
    <t>公积金每月还本</t>
    <phoneticPr fontId="1" type="noConversion"/>
  </si>
  <si>
    <t>公积金每月还息</t>
    <phoneticPr fontId="1" type="noConversion"/>
  </si>
  <si>
    <t>公积金月供</t>
    <phoneticPr fontId="1" type="noConversion"/>
  </si>
  <si>
    <t>当前单位缴纳</t>
    <phoneticPr fontId="1" type="noConversion"/>
  </si>
  <si>
    <t>额外需补充还公积金贷款</t>
    <phoneticPr fontId="1" type="noConversion"/>
  </si>
  <si>
    <t>需准备现金（首付+私下给房东+交易费用）</t>
    <phoneticPr fontId="1" type="noConversion"/>
  </si>
  <si>
    <t>公积金年限（月）</t>
    <phoneticPr fontId="1" type="noConversion"/>
  </si>
  <si>
    <t>商贷利率</t>
    <phoneticPr fontId="1" type="noConversion"/>
  </si>
  <si>
    <t>商贷年限（月）</t>
    <phoneticPr fontId="1" type="noConversion"/>
  </si>
  <si>
    <t>商贷每月还本</t>
    <phoneticPr fontId="1" type="noConversion"/>
  </si>
  <si>
    <t>商贷每月还息</t>
    <phoneticPr fontId="1" type="noConversion"/>
  </si>
  <si>
    <t>商贷月供</t>
    <phoneticPr fontId="1" type="noConversion"/>
  </si>
  <si>
    <t>每月工资还房贷</t>
    <phoneticPr fontId="1" type="noConversion"/>
  </si>
  <si>
    <t>共计每年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</si>
</sst>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¥&quot;#,##0.00;[Red]&quot;¥&quot;\-#,##0.00"/>
    <numFmt numFmtId="24" formatCode="\$#,##0_);[Red]\(\$#,##0\)"/>
  </numFmts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2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8" fontId="0" fillId="0" borderId="0" xfId="0" applyNumberFormat="1"/>
    <xf numFmtId="10" fontId="0" fillId="0" borderId="0" xfId="0" applyNumberFormat="1"/>
    <xf numFmtId="24" fontId="0" fillId="0" borderId="0" xfId="0" applyNumberFormat="1"/>
    <xf numFmtId="0" fontId="2" fillId="0" borderId="1" xfId="0" applyFont="1" applyBorder="1"/>
    <xf numFmtId="8" fontId="2" fillId="0" borderId="2" xfId="0" applyNumberFormat="1" applyFont="1" applyBorder="1"/>
    <xf numFmtId="0" fontId="2" fillId="0" borderId="3" xfId="0" applyFont="1" applyBorder="1"/>
    <xf numFmtId="8" fontId="2" fillId="0" borderId="4" xfId="0" applyNumberFormat="1" applyFont="1" applyBorder="1"/>
    <xf numFmtId="0" fontId="2" fillId="0" borderId="5" xfId="0" applyFont="1" applyBorder="1"/>
    <xf numFmtId="0" fontId="2" fillId="0" borderId="6" xfId="0" applyFont="1" applyBorder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1"/>
  <sheetViews>
    <sheetView tabSelected="1" workbookViewId="0">
      <selection activeCell="B3" sqref="B3"/>
    </sheetView>
  </sheetViews>
  <sheetFormatPr defaultRowHeight="14.25" x14ac:dyDescent="0.2"/>
  <cols>
    <col min="1" max="1" width="12.125" customWidth="1"/>
    <col min="4" max="4" width="12.125" bestFit="1" customWidth="1"/>
    <col min="6" max="6" width="13" bestFit="1" customWidth="1"/>
    <col min="7" max="7" width="40.75" bestFit="1" customWidth="1"/>
    <col min="8" max="8" width="10.375" bestFit="1" customWidth="1"/>
    <col min="10" max="10" width="23" customWidth="1"/>
    <col min="11" max="11" width="10.25" bestFit="1" customWidth="1"/>
    <col min="13" max="13" width="17" customWidth="1"/>
    <col min="14" max="14" width="15" customWidth="1"/>
  </cols>
  <sheetData>
    <row r="1" spans="1:14" x14ac:dyDescent="0.2">
      <c r="A1" t="s">
        <v>3</v>
      </c>
      <c r="D1" t="s">
        <v>4</v>
      </c>
      <c r="E1">
        <f>SUM(E2:E4)</f>
        <v>91600</v>
      </c>
      <c r="G1" t="s">
        <v>8</v>
      </c>
      <c r="H1">
        <f>B3*0.35</f>
        <v>801500</v>
      </c>
      <c r="J1" t="s">
        <v>11</v>
      </c>
      <c r="K1" s="2">
        <v>3.2500000000000001E-2</v>
      </c>
      <c r="M1" t="s">
        <v>20</v>
      </c>
      <c r="N1" s="2">
        <v>4.9000000000000002E-2</v>
      </c>
    </row>
    <row r="2" spans="1:14" x14ac:dyDescent="0.2">
      <c r="A2" t="s">
        <v>0</v>
      </c>
      <c r="B2">
        <v>2420000</v>
      </c>
      <c r="D2" t="s">
        <v>5</v>
      </c>
      <c r="E2">
        <f>B3*0.01</f>
        <v>22900</v>
      </c>
      <c r="G2" t="s">
        <v>9</v>
      </c>
      <c r="H2">
        <v>500000</v>
      </c>
      <c r="J2" t="s">
        <v>19</v>
      </c>
      <c r="K2">
        <v>180</v>
      </c>
      <c r="M2" t="s">
        <v>21</v>
      </c>
      <c r="N2">
        <v>240</v>
      </c>
    </row>
    <row r="3" spans="1:14" x14ac:dyDescent="0.2">
      <c r="A3" t="s">
        <v>1</v>
      </c>
      <c r="B3">
        <v>2290000</v>
      </c>
      <c r="D3" t="s">
        <v>6</v>
      </c>
      <c r="E3">
        <f>B3*0.01</f>
        <v>22900</v>
      </c>
      <c r="G3" t="s">
        <v>10</v>
      </c>
      <c r="H3">
        <f>B3-H1-H2</f>
        <v>988500</v>
      </c>
      <c r="J3" t="s">
        <v>12</v>
      </c>
      <c r="K3" s="3">
        <v>460000</v>
      </c>
      <c r="M3" t="s">
        <v>12</v>
      </c>
      <c r="N3">
        <f>H3</f>
        <v>988500</v>
      </c>
    </row>
    <row r="4" spans="1:14" ht="15" thickBot="1" x14ac:dyDescent="0.25">
      <c r="A4" t="s">
        <v>2</v>
      </c>
      <c r="B4">
        <f>B2-B3</f>
        <v>130000</v>
      </c>
      <c r="D4" t="s">
        <v>7</v>
      </c>
      <c r="E4">
        <f>B3*0.02</f>
        <v>45800</v>
      </c>
    </row>
    <row r="5" spans="1:14" ht="16.5" thickBot="1" x14ac:dyDescent="0.3">
      <c r="G5" s="8" t="s">
        <v>18</v>
      </c>
      <c r="H5" s="9">
        <f>B4+E1+H1</f>
        <v>1023100</v>
      </c>
      <c r="J5" t="s">
        <v>13</v>
      </c>
      <c r="K5" s="1">
        <f>PPMT($K$1/12,1,$K$2,$K$3)</f>
        <v>-1986.4430036981282</v>
      </c>
      <c r="M5" t="s">
        <v>22</v>
      </c>
      <c r="N5" s="1">
        <f>PPMT($N$1/12,1,$N$2,$N$3)</f>
        <v>-2432.8044241375092</v>
      </c>
    </row>
    <row r="6" spans="1:14" x14ac:dyDescent="0.2">
      <c r="J6" t="s">
        <v>14</v>
      </c>
      <c r="K6" s="1">
        <f>IPMT($K$1/12,1,$K$2,$K$3)</f>
        <v>-1245.8333333333335</v>
      </c>
      <c r="M6" t="s">
        <v>23</v>
      </c>
      <c r="N6" s="1">
        <f>IPMT($N$1/12,1,$N$2,$N$3)</f>
        <v>-4036.3750000000005</v>
      </c>
    </row>
    <row r="7" spans="1:14" x14ac:dyDescent="0.2">
      <c r="J7" t="s">
        <v>15</v>
      </c>
      <c r="K7" s="1">
        <f>K5+K6</f>
        <v>-3232.2763370314615</v>
      </c>
      <c r="M7" t="s">
        <v>24</v>
      </c>
      <c r="N7" s="1">
        <f>N5+N6</f>
        <v>-6469.1794241375101</v>
      </c>
    </row>
    <row r="8" spans="1:14" x14ac:dyDescent="0.2">
      <c r="J8" t="s">
        <v>16</v>
      </c>
      <c r="K8" s="3">
        <v>2138</v>
      </c>
    </row>
    <row r="9" spans="1:14" ht="15" thickBot="1" x14ac:dyDescent="0.25">
      <c r="J9" t="s">
        <v>17</v>
      </c>
      <c r="K9" s="1">
        <f>K7+K8</f>
        <v>-1094.2763370314615</v>
      </c>
    </row>
    <row r="10" spans="1:14" ht="15.75" x14ac:dyDescent="0.25">
      <c r="M10" s="4" t="s">
        <v>25</v>
      </c>
      <c r="N10" s="5">
        <f>K9+N7</f>
        <v>-7563.4557611689715</v>
      </c>
    </row>
    <row r="11" spans="1:14" ht="16.5" thickBot="1" x14ac:dyDescent="0.3">
      <c r="M11" s="6" t="s">
        <v>26</v>
      </c>
      <c r="N11" s="7">
        <f>N10*12</f>
        <v>-90761.469134027662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2019-06-09T12:13:13Z</dcterms:modified>
</cp:coreProperties>
</file>